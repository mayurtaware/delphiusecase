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xr:revisionPtr revIDLastSave="0" documentId="13_ncr:1_{77995BE7-104E-4E2F-8CDB-98D05E95A9F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Q" sheetId="1" r:id="rId1"/>
    <sheet name="Cost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1" i="1" l="1"/>
  <c r="F50" i="1"/>
  <c r="F46" i="1"/>
  <c r="F44" i="1"/>
  <c r="F43" i="1"/>
  <c r="F42" i="1"/>
  <c r="F47" i="1" s="1"/>
  <c r="B9" i="2" s="1"/>
  <c r="F39" i="1"/>
  <c r="F38" i="1"/>
  <c r="F36" i="1"/>
  <c r="F35" i="1"/>
  <c r="F40" i="1" s="1"/>
  <c r="B8" i="2" s="1"/>
  <c r="F32" i="1"/>
  <c r="F31" i="1"/>
  <c r="F27" i="1"/>
  <c r="F26" i="1"/>
  <c r="F25" i="1"/>
  <c r="F24" i="1"/>
  <c r="F23" i="1"/>
  <c r="F22" i="1"/>
  <c r="F21" i="1"/>
  <c r="F20" i="1"/>
  <c r="F19" i="1"/>
  <c r="F15" i="1"/>
  <c r="F16" i="1" s="1"/>
  <c r="B5" i="2" s="1"/>
  <c r="F12" i="1"/>
  <c r="F10" i="1"/>
  <c r="F9" i="1"/>
  <c r="F6" i="1"/>
  <c r="F5" i="1"/>
  <c r="F4" i="1"/>
  <c r="F7" i="1" s="1"/>
  <c r="F13" i="1" l="1"/>
  <c r="B4" i="2" s="1"/>
  <c r="F33" i="1"/>
  <c r="B7" i="2" s="1"/>
  <c r="C7" i="2" s="1"/>
  <c r="F28" i="1"/>
  <c r="B6" i="2" s="1"/>
  <c r="F52" i="1"/>
  <c r="B10" i="2" s="1"/>
  <c r="C6" i="2"/>
  <c r="C5" i="2"/>
  <c r="C8" i="2"/>
  <c r="C9" i="2"/>
  <c r="B3" i="2"/>
  <c r="C10" i="2"/>
  <c r="C4" i="2"/>
  <c r="F53" i="1" l="1"/>
  <c r="F54" i="1" s="1"/>
  <c r="C3" i="2"/>
  <c r="B11" i="2"/>
  <c r="C11" i="2" l="1"/>
  <c r="D5" i="2"/>
  <c r="D8" i="2"/>
  <c r="D4" i="2"/>
  <c r="D7" i="2"/>
  <c r="D9" i="2"/>
  <c r="D10" i="2"/>
  <c r="D6" i="2"/>
  <c r="D3" i="2"/>
</calcChain>
</file>

<file path=xl/sharedStrings.xml><?xml version="1.0" encoding="utf-8"?>
<sst xmlns="http://schemas.openxmlformats.org/spreadsheetml/2006/main" count="152" uniqueCount="135">
  <si>
    <t>BILL OF QUANTITIES — DELPHI PROJECT AZURE INFRASTRUCTURE</t>
  </si>
  <si>
    <t>#</t>
  </si>
  <si>
    <t>Description / Specification</t>
  </si>
  <si>
    <t>Qty</t>
  </si>
  <si>
    <t>Unit</t>
  </si>
  <si>
    <t>Unit Cost (USD)</t>
  </si>
  <si>
    <t>Monthly (USD)</t>
  </si>
  <si>
    <t>1. COMPUTE</t>
  </si>
  <si>
    <t>1.1</t>
  </si>
  <si>
    <t>AKS Standard Tier — Control Plane SLA (prod-aks-cluster)</t>
  </si>
  <si>
    <t>Cluster/mo</t>
  </si>
  <si>
    <t>1.2</t>
  </si>
  <si>
    <t>AKS Node VM — Standard_D2s_v3 (2 vCPU, 8 GB RAM)</t>
  </si>
  <si>
    <t>VM/mo</t>
  </si>
  <si>
    <t>1.3</t>
  </si>
  <si>
    <t>App Service Plan S2 — Linux (2 instances per tfvars)</t>
  </si>
  <si>
    <t>Instance/mo</t>
  </si>
  <si>
    <t>Subtotal — Compute</t>
  </si>
  <si>
    <t>2. STORAGE</t>
  </si>
  <si>
    <t>2.1</t>
  </si>
  <si>
    <t>AKS OS Disk — Premium SSD P10 (128 GB)</t>
  </si>
  <si>
    <t>Disk/mo</t>
  </si>
  <si>
    <t>2.2</t>
  </si>
  <si>
    <t>Kubernetes PVC — Premium SSD P10 (10 GB, delphi-pvc)</t>
  </si>
  <si>
    <t>2.3</t>
  </si>
  <si>
    <t>ACR Premium Storage — included 500 GB, est. usage &lt; 500 GB</t>
  </si>
  <si>
    <t>Registry/mo</t>
  </si>
  <si>
    <t>2.4</t>
  </si>
  <si>
    <t>Diagnostic Storage Account — Standard GRS (~5 GB/mo)</t>
  </si>
  <si>
    <t>GB/mo</t>
  </si>
  <si>
    <t>Subtotal — Storage</t>
  </si>
  <si>
    <t>3. CONTAINER REGISTRY</t>
  </si>
  <si>
    <t>3.1</t>
  </si>
  <si>
    <t>Azure Container Registry — Premium SKU (required for private endpoint)</t>
  </si>
  <si>
    <t>Subtotal — Container Registry</t>
  </si>
  <si>
    <t>4. NETWORKING</t>
  </si>
  <si>
    <t>4.1</t>
  </si>
  <si>
    <t>Virtual Network (prod-vnet)</t>
  </si>
  <si>
    <t>VNet/mo</t>
  </si>
  <si>
    <t>4.2</t>
  </si>
  <si>
    <t>Private Endpoint — ACR</t>
  </si>
  <si>
    <t>Endpoint/mo</t>
  </si>
  <si>
    <t>4.3</t>
  </si>
  <si>
    <t>Private Endpoint — Key Vault</t>
  </si>
  <si>
    <t>4.4</t>
  </si>
  <si>
    <t>Private Endpoint — App Service</t>
  </si>
  <si>
    <t>4.5</t>
  </si>
  <si>
    <t>Private DNS Zone — ACR (privatelink.azurecr.io)</t>
  </si>
  <si>
    <t>Zone/mo</t>
  </si>
  <si>
    <t>4.6</t>
  </si>
  <si>
    <t>Private DNS Zone — Key Vault (privatelink.vaultcore.azure.net)</t>
  </si>
  <si>
    <t>4.7</t>
  </si>
  <si>
    <t>Private DNS Zone — App Service (privatelink.azurewebsites.net)</t>
  </si>
  <si>
    <t>4.8</t>
  </si>
  <si>
    <t>Standard Load Balancer — AKS Internal LB</t>
  </si>
  <si>
    <t>LB/mo</t>
  </si>
  <si>
    <t>4.9</t>
  </si>
  <si>
    <t>Public IP Address — AKS Outbound NAT</t>
  </si>
  <si>
    <t>IP/mo</t>
  </si>
  <si>
    <t>4.10</t>
  </si>
  <si>
    <t>Data Transfer Outbound — est. 50 GB/mo (first 5 GB free)</t>
  </si>
  <si>
    <t>Subtotal — Networking</t>
  </si>
  <si>
    <t>5. KEY VAULT</t>
  </si>
  <si>
    <t>5.1</t>
  </si>
  <si>
    <t>Key Vault — Standard SKU (delphi-prod-kv)</t>
  </si>
  <si>
    <t>Vault/mo</t>
  </si>
  <si>
    <t>5.2</t>
  </si>
  <si>
    <t>Key Vault Secret Operations — est. 50k ops/mo</t>
  </si>
  <si>
    <t>10k ops/mo</t>
  </si>
  <si>
    <t>5.3</t>
  </si>
  <si>
    <t>Key Vault Certificate Renewals — est. 2/mo</t>
  </si>
  <si>
    <t>Certs/mo</t>
  </si>
  <si>
    <t>Subtotal — Key Vault</t>
  </si>
  <si>
    <t>6. MONITORING</t>
  </si>
  <si>
    <t>6.1</t>
  </si>
  <si>
    <t>Log Analytics Workspace — Pay-As-You-Go, est. 5 GB/mo ingestion</t>
  </si>
  <si>
    <t>6.2</t>
  </si>
  <si>
    <t>Log Analytics Retention — beyond 31-day free tier, est. 50 GB</t>
  </si>
  <si>
    <t>6.3</t>
  </si>
  <si>
    <t>AKS Container Insights (monitor_metrics enabled)</t>
  </si>
  <si>
    <t>6.4</t>
  </si>
  <si>
    <t>Application Insights — Workspace-based, est. 2 GB/mo telemetry</t>
  </si>
  <si>
    <t>6.5</t>
  </si>
  <si>
    <t>Azure Monitor Alert Rules — est. 10 rules</t>
  </si>
  <si>
    <t>Rules/mo</t>
  </si>
  <si>
    <t>Subtotal — Monitoring</t>
  </si>
  <si>
    <t>7. SECURITY</t>
  </si>
  <si>
    <t>7.1</t>
  </si>
  <si>
    <t>Microsoft Defender for Containers — AKS (2 vCores on D2s_v3)</t>
  </si>
  <si>
    <t>vCore/mo</t>
  </si>
  <si>
    <t>7.2</t>
  </si>
  <si>
    <t>Microsoft Defender for App Service (2 instances)</t>
  </si>
  <si>
    <t>7.3</t>
  </si>
  <si>
    <t>Microsoft Defender for Key Vault — est. 50k transactions</t>
  </si>
  <si>
    <t>10k trans/mo</t>
  </si>
  <si>
    <t>7.4</t>
  </si>
  <si>
    <t>Azure Policy for AKS (azure_policy_enabled = true)</t>
  </si>
  <si>
    <t>7.5</t>
  </si>
  <si>
    <t>NSG Flow Logs — est. 2 GB/mo</t>
  </si>
  <si>
    <t>Subtotal — Security</t>
  </si>
  <si>
    <t>8. DEVOPS &amp; PIPELINES</t>
  </si>
  <si>
    <t>8.1</t>
  </si>
  <si>
    <t>Azure DevOps — Basic Plan (self-hosted agent, up to 5 users free)</t>
  </si>
  <si>
    <t>Org/mo</t>
  </si>
  <si>
    <t>8.2</t>
  </si>
  <si>
    <t>Self-Hosted Agent VM — Standard_B2s (2 vCPU, 4 GB, agent-pool-prod)</t>
  </si>
  <si>
    <t>8.3</t>
  </si>
  <si>
    <t>Agent VM OS Disk — Standard SSD E10 (128 GB)</t>
  </si>
  <si>
    <t>Subtotal — DevOps</t>
  </si>
  <si>
    <t>ESTIMATED TOTAL MONTHLY COST (USD)</t>
  </si>
  <si>
    <t>ESTIMATED ANNUAL COST (USD)</t>
  </si>
  <si>
    <t>NOTES &amp; ASSUMPTIONS</t>
  </si>
  <si>
    <t>1.  All prices are Pay-As-You-Go (PAYG). 1-year Reserved Instances reduce VM and App Service costs by ~40%, saving ~$150/mo.</t>
  </si>
  <si>
    <t>2.  UAE North is an Azure Zone 3 region. Data egress and some services carry a ~10% premium over West Europe base rates.</t>
  </si>
  <si>
    <t>3.  AKS node count = 1 per terraform.tfvars. HPA scales pods but NOT nodes without enabling cluster autoscaler (min/max commented out).</t>
  </si>
  <si>
    <t>4.  App Service instance count = 2. Autoscale can increase to 5 instances max, adding ~$73/instance/mo at peak.</t>
  </si>
  <si>
    <t>5.  Log Analytics ingestion volumes are estimates. Actual costs depend heavily on application log verbosity.</t>
  </si>
  <si>
    <t>6.  Microsoft Defender (~$44/mo) is optional but strongly recommended for production workloads.</t>
  </si>
  <si>
    <t>7.  ACR Premium SKU is mandatory for private endpoint support. Cannot downgrade to Standard (~$20/mo) without removing private endpoint.</t>
  </si>
  <si>
    <t>8.  Blue cells are hardcoded inputs. Modify Qty or Unit Cost to model different scenarios.</t>
  </si>
  <si>
    <t>9.  Verify all current prices at https://azure.microsoft.com/en-us/pricing/calculator/ before budget sign-off.</t>
  </si>
  <si>
    <t>COST SUMMARY DASHBOARD — DELPHI AZURE INFRASTRUCTURE</t>
  </si>
  <si>
    <t>Category</t>
  </si>
  <si>
    <t>Annual (USD)</t>
  </si>
  <si>
    <t>% of Total</t>
  </si>
  <si>
    <t>Compute</t>
  </si>
  <si>
    <t>Storage</t>
  </si>
  <si>
    <t>Container Registry</t>
  </si>
  <si>
    <t>Networking</t>
  </si>
  <si>
    <t>Key Vault</t>
  </si>
  <si>
    <t>Monitoring</t>
  </si>
  <si>
    <t>Security</t>
  </si>
  <si>
    <t>DevOps &amp; Pipelines</t>
  </si>
  <si>
    <t>TOTAL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</si>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</sst>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F4E79"/>
      <name val="Arial"/>
      <charset val="1"/>
    </font>
    <font>
      <b/>
      <sz val="12"/>
      <color rgb="FFFFFFFF"/>
      <name val="Arial"/>
      <charset val="1"/>
    </font>
    <font>
      <b/>
      <sz val="12"/>
      <color rgb="FF375623"/>
      <name val="Arial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Arial"/>
      <charset val="1"/>
    </font>
    <font>
      <b/>
      <sz val="11"/>
      <color rgb="FF37562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F0F6FC"/>
        <bgColor rgb="FFF9F9F9"/>
      </patternFill>
    </fill>
    <fill>
      <patternFill patternType="solid">
        <fgColor rgb="FFD9E1F2"/>
        <bgColor rgb="FFD6E4F0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9F9F9"/>
      </patternFill>
    </fill>
  </fills>
  <borders count="5"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right" vertical="center"/>
    </xf>
    <xf numFmtId="164" fontId="7" fillId="5" borderId="3" xfId="0" applyNumberFormat="1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 wrapText="1"/>
    </xf>
    <xf numFmtId="164" fontId="6" fillId="7" borderId="3" xfId="0" applyNumberFormat="1" applyFont="1" applyFill="1" applyBorder="1" applyAlignment="1">
      <alignment horizontal="right" vertical="center"/>
    </xf>
    <xf numFmtId="164" fontId="7" fillId="7" borderId="3" xfId="0" applyNumberFormat="1" applyFont="1" applyFill="1" applyBorder="1" applyAlignment="1">
      <alignment horizontal="right" vertical="center"/>
    </xf>
    <xf numFmtId="164" fontId="7" fillId="8" borderId="2" xfId="0" applyNumberFormat="1" applyFont="1" applyFill="1" applyBorder="1" applyAlignment="1">
      <alignment horizontal="right" vertical="center"/>
    </xf>
    <xf numFmtId="164" fontId="9" fillId="9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4" fontId="5" fillId="5" borderId="3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left" vertical="center"/>
    </xf>
    <xf numFmtId="164" fontId="5" fillId="7" borderId="3" xfId="0" applyNumberFormat="1" applyFont="1" applyFill="1" applyBorder="1" applyAlignment="1">
      <alignment horizontal="right" vertical="center"/>
    </xf>
    <xf numFmtId="165" fontId="5" fillId="7" borderId="3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164" fontId="13" fillId="9" borderId="2" xfId="0" applyNumberFormat="1" applyFont="1" applyFill="1" applyBorder="1" applyAlignment="1">
      <alignment horizontal="right" vertical="center"/>
    </xf>
    <xf numFmtId="165" fontId="13" fillId="9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F0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9F9F9"/>
      <rgbColor rgb="FFD9E1F2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Cost by Category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 Summary'!$B$2</c:f>
              <c:strCache>
                <c:ptCount val="1"/>
                <c:pt idx="0">
                  <c:v>Monthly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Summary'!$A$3:$A$10</c:f>
              <c:strCache>
                <c:ptCount val="8"/>
                <c:pt idx="0">
                  <c:v>Compute</c:v>
                </c:pt>
                <c:pt idx="1">
                  <c:v>Storage</c:v>
                </c:pt>
                <c:pt idx="2">
                  <c:v>Container Registry</c:v>
                </c:pt>
                <c:pt idx="3">
                  <c:v>Networking</c:v>
                </c:pt>
                <c:pt idx="4">
                  <c:v>Key Vault</c:v>
                </c:pt>
                <c:pt idx="5">
                  <c:v>Monitoring</c:v>
                </c:pt>
                <c:pt idx="6">
                  <c:v>Security</c:v>
                </c:pt>
                <c:pt idx="7">
                  <c:v>DevOps &amp; Pipelines</c:v>
                </c:pt>
              </c:strCache>
            </c:strRef>
          </c:cat>
          <c:val>
            <c:numRef>
              <c:f>'Cost Summary'!$B$3:$B$10</c:f>
              <c:numCache>
                <c:formatCode>\$#,##0.00</c:formatCode>
                <c:ptCount val="8"/>
                <c:pt idx="0">
                  <c:v>302.27999999999997</c:v>
                </c:pt>
                <c:pt idx="1">
                  <c:v>36.115000000000002</c:v>
                </c:pt>
                <c:pt idx="2">
                  <c:v>110</c:v>
                </c:pt>
                <c:pt idx="3">
                  <c:v>49.311</c:v>
                </c:pt>
                <c:pt idx="4">
                  <c:v>6.15</c:v>
                </c:pt>
                <c:pt idx="5">
                  <c:v>25.319999999999997</c:v>
                </c:pt>
                <c:pt idx="6">
                  <c:v>44.274000000000001</c:v>
                </c:pt>
                <c:pt idx="7">
                  <c:v>43.712000000000003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9-4E02-A38C-8DC7D9AF5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56547"/>
        <c:axId val="42713066"/>
      </c:barChart>
      <c:catAx>
        <c:axId val="659565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13066"/>
        <c:crosses val="autoZero"/>
        <c:auto val="1"/>
        <c:lblAlgn val="ctr"/>
        <c:lblOffset val="100"/>
        <c:noMultiLvlLbl val="0"/>
      </c:catAx>
      <c:valAx>
        <c:axId val="427130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565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417960</xdr:colOff>
      <xdr:row>34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65"/>
  <sheetViews>
    <sheetView tabSelected="1" zoomScaleNormal="100" workbookViewId="0">
      <pane ySplit="2" topLeftCell="A48" activePane="bottomLeft" state="frozen"/>
      <selection pane="bottomLeft" activeCell="G55" sqref="G55"/>
    </sheetView>
  </sheetViews>
  <sheetFormatPr defaultColWidth="8.6640625" defaultRowHeight="14.4" x14ac:dyDescent="0.3"/>
  <cols>
    <col min="1" max="1" width="8" customWidth="1"/>
    <col min="2" max="2" width="75.33203125" customWidth="1"/>
    <col min="3" max="3" width="8" customWidth="1"/>
    <col min="4" max="4" width="14" customWidth="1"/>
    <col min="5" max="6" width="16" customWidth="1"/>
  </cols>
  <sheetData>
    <row r="1" spans="1:6" ht="39.75" customHeight="1" thickBot="1" x14ac:dyDescent="0.35">
      <c r="A1" s="8" t="s">
        <v>0</v>
      </c>
      <c r="B1" s="8"/>
      <c r="C1" s="8"/>
      <c r="D1" s="8"/>
      <c r="E1" s="8"/>
      <c r="F1" s="8"/>
    </row>
    <row r="2" spans="1:6" ht="27.75" customHeight="1" thickBot="1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 ht="18" customHeight="1" thickBot="1" x14ac:dyDescent="0.35">
      <c r="A3" s="7" t="s">
        <v>7</v>
      </c>
      <c r="B3" s="7"/>
      <c r="C3" s="7"/>
      <c r="D3" s="7"/>
      <c r="E3" s="7"/>
      <c r="F3" s="7"/>
    </row>
    <row r="4" spans="1:6" ht="18" customHeight="1" x14ac:dyDescent="0.3">
      <c r="A4" s="10" t="s">
        <v>8</v>
      </c>
      <c r="B4" s="11" t="s">
        <v>9</v>
      </c>
      <c r="C4" s="12">
        <v>1</v>
      </c>
      <c r="D4" s="10" t="s">
        <v>10</v>
      </c>
      <c r="E4" s="13">
        <v>73</v>
      </c>
      <c r="F4" s="14">
        <f>C4*E4</f>
        <v>73</v>
      </c>
    </row>
    <row r="5" spans="1:6" ht="18" customHeight="1" x14ac:dyDescent="0.3">
      <c r="A5" s="15" t="s">
        <v>11</v>
      </c>
      <c r="B5" s="16" t="s">
        <v>12</v>
      </c>
      <c r="C5" s="12">
        <v>1</v>
      </c>
      <c r="D5" s="15" t="s">
        <v>13</v>
      </c>
      <c r="E5" s="17">
        <v>83.28</v>
      </c>
      <c r="F5" s="18">
        <f>C5*E5</f>
        <v>83.28</v>
      </c>
    </row>
    <row r="6" spans="1:6" ht="18" customHeight="1" thickBot="1" x14ac:dyDescent="0.35">
      <c r="A6" s="10" t="s">
        <v>14</v>
      </c>
      <c r="B6" s="11" t="s">
        <v>15</v>
      </c>
      <c r="C6" s="12">
        <v>2</v>
      </c>
      <c r="D6" s="10" t="s">
        <v>16</v>
      </c>
      <c r="E6" s="13">
        <v>73</v>
      </c>
      <c r="F6" s="14">
        <f>C6*E6</f>
        <v>146</v>
      </c>
    </row>
    <row r="7" spans="1:6" ht="18" customHeight="1" thickBot="1" x14ac:dyDescent="0.35">
      <c r="A7" s="6" t="s">
        <v>17</v>
      </c>
      <c r="B7" s="6"/>
      <c r="C7" s="6"/>
      <c r="D7" s="6"/>
      <c r="E7" s="6"/>
      <c r="F7" s="19">
        <f>SUM(F3:F6)</f>
        <v>302.27999999999997</v>
      </c>
    </row>
    <row r="8" spans="1:6" ht="18" customHeight="1" thickBot="1" x14ac:dyDescent="0.35">
      <c r="A8" s="7" t="s">
        <v>18</v>
      </c>
      <c r="B8" s="7"/>
      <c r="C8" s="7"/>
      <c r="D8" s="7"/>
      <c r="E8" s="7"/>
      <c r="F8" s="7"/>
    </row>
    <row r="9" spans="1:6" ht="18" customHeight="1" x14ac:dyDescent="0.3">
      <c r="A9" s="15" t="s">
        <v>19</v>
      </c>
      <c r="B9" s="16" t="s">
        <v>20</v>
      </c>
      <c r="C9" s="12">
        <v>1</v>
      </c>
      <c r="D9" s="15" t="s">
        <v>21</v>
      </c>
      <c r="E9" s="17">
        <v>17</v>
      </c>
      <c r="F9" s="18">
        <f>C9*E9</f>
        <v>17</v>
      </c>
    </row>
    <row r="10" spans="1:6" ht="18" customHeight="1" x14ac:dyDescent="0.3">
      <c r="A10" s="10" t="s">
        <v>22</v>
      </c>
      <c r="B10" s="11" t="s">
        <v>23</v>
      </c>
      <c r="C10" s="12">
        <v>1</v>
      </c>
      <c r="D10" s="10" t="s">
        <v>21</v>
      </c>
      <c r="E10" s="13">
        <v>19</v>
      </c>
      <c r="F10" s="14">
        <f>C10*E10</f>
        <v>19</v>
      </c>
    </row>
    <row r="11" spans="1:6" ht="18" customHeight="1" x14ac:dyDescent="0.3">
      <c r="A11" s="15" t="s">
        <v>24</v>
      </c>
      <c r="B11" s="16" t="s">
        <v>25</v>
      </c>
      <c r="C11" s="12">
        <v>1</v>
      </c>
      <c r="D11" s="15" t="s">
        <v>26</v>
      </c>
      <c r="E11" s="17">
        <v>0</v>
      </c>
      <c r="F11" s="18">
        <v>0</v>
      </c>
    </row>
    <row r="12" spans="1:6" ht="18" customHeight="1" thickBot="1" x14ac:dyDescent="0.35">
      <c r="A12" s="10" t="s">
        <v>27</v>
      </c>
      <c r="B12" s="11" t="s">
        <v>28</v>
      </c>
      <c r="C12" s="12">
        <v>5</v>
      </c>
      <c r="D12" s="10" t="s">
        <v>29</v>
      </c>
      <c r="E12" s="13">
        <v>2.3E-2</v>
      </c>
      <c r="F12" s="14">
        <f>C12*E12</f>
        <v>0.11499999999999999</v>
      </c>
    </row>
    <row r="13" spans="1:6" ht="18" customHeight="1" thickBot="1" x14ac:dyDescent="0.35">
      <c r="A13" s="6" t="s">
        <v>30</v>
      </c>
      <c r="B13" s="6"/>
      <c r="C13" s="6"/>
      <c r="D13" s="6"/>
      <c r="E13" s="6"/>
      <c r="F13" s="19">
        <f>SUM(F8:F12)</f>
        <v>36.115000000000002</v>
      </c>
    </row>
    <row r="14" spans="1:6" ht="18" customHeight="1" thickBot="1" x14ac:dyDescent="0.35">
      <c r="A14" s="7" t="s">
        <v>31</v>
      </c>
      <c r="B14" s="7"/>
      <c r="C14" s="7"/>
      <c r="D14" s="7"/>
      <c r="E14" s="7"/>
      <c r="F14" s="7"/>
    </row>
    <row r="15" spans="1:6" ht="18" customHeight="1" thickBot="1" x14ac:dyDescent="0.35">
      <c r="A15" s="15" t="s">
        <v>32</v>
      </c>
      <c r="B15" s="16" t="s">
        <v>33</v>
      </c>
      <c r="C15" s="12">
        <v>1</v>
      </c>
      <c r="D15" s="15" t="s">
        <v>26</v>
      </c>
      <c r="E15" s="17">
        <v>110</v>
      </c>
      <c r="F15" s="18">
        <f>C15*E15</f>
        <v>110</v>
      </c>
    </row>
    <row r="16" spans="1:6" ht="18" customHeight="1" thickBot="1" x14ac:dyDescent="0.35">
      <c r="A16" s="6" t="s">
        <v>34</v>
      </c>
      <c r="B16" s="6"/>
      <c r="C16" s="6"/>
      <c r="D16" s="6"/>
      <c r="E16" s="6"/>
      <c r="F16" s="19">
        <f>SUM(F14:F15)</f>
        <v>110</v>
      </c>
    </row>
    <row r="17" spans="1:6" ht="18" customHeight="1" thickBot="1" x14ac:dyDescent="0.35">
      <c r="A17" s="7" t="s">
        <v>35</v>
      </c>
      <c r="B17" s="7"/>
      <c r="C17" s="7"/>
      <c r="D17" s="7"/>
      <c r="E17" s="7"/>
      <c r="F17" s="7"/>
    </row>
    <row r="18" spans="1:6" ht="18" customHeight="1" x14ac:dyDescent="0.3">
      <c r="A18" s="10" t="s">
        <v>36</v>
      </c>
      <c r="B18" s="11" t="s">
        <v>37</v>
      </c>
      <c r="C18" s="12">
        <v>1</v>
      </c>
      <c r="D18" s="10" t="s">
        <v>38</v>
      </c>
      <c r="E18" s="13">
        <v>0</v>
      </c>
      <c r="F18" s="14">
        <v>0</v>
      </c>
    </row>
    <row r="19" spans="1:6" ht="18" customHeight="1" x14ac:dyDescent="0.3">
      <c r="A19" s="15" t="s">
        <v>39</v>
      </c>
      <c r="B19" s="16" t="s">
        <v>40</v>
      </c>
      <c r="C19" s="12">
        <v>1</v>
      </c>
      <c r="D19" s="15" t="s">
        <v>41</v>
      </c>
      <c r="E19" s="17">
        <v>7.44</v>
      </c>
      <c r="F19" s="18">
        <f t="shared" ref="F19:F27" si="0">C19*E19</f>
        <v>7.44</v>
      </c>
    </row>
    <row r="20" spans="1:6" ht="18" customHeight="1" x14ac:dyDescent="0.3">
      <c r="A20" s="10" t="s">
        <v>42</v>
      </c>
      <c r="B20" s="11" t="s">
        <v>43</v>
      </c>
      <c r="C20" s="12">
        <v>1</v>
      </c>
      <c r="D20" s="10" t="s">
        <v>41</v>
      </c>
      <c r="E20" s="13">
        <v>7.44</v>
      </c>
      <c r="F20" s="14">
        <f t="shared" si="0"/>
        <v>7.44</v>
      </c>
    </row>
    <row r="21" spans="1:6" ht="18" customHeight="1" x14ac:dyDescent="0.3">
      <c r="A21" s="15" t="s">
        <v>44</v>
      </c>
      <c r="B21" s="16" t="s">
        <v>45</v>
      </c>
      <c r="C21" s="12">
        <v>1</v>
      </c>
      <c r="D21" s="15" t="s">
        <v>41</v>
      </c>
      <c r="E21" s="17">
        <v>7.44</v>
      </c>
      <c r="F21" s="18">
        <f t="shared" si="0"/>
        <v>7.44</v>
      </c>
    </row>
    <row r="22" spans="1:6" ht="18" customHeight="1" x14ac:dyDescent="0.3">
      <c r="A22" s="10" t="s">
        <v>46</v>
      </c>
      <c r="B22" s="11" t="s">
        <v>47</v>
      </c>
      <c r="C22" s="12">
        <v>1</v>
      </c>
      <c r="D22" s="10" t="s">
        <v>48</v>
      </c>
      <c r="E22" s="13">
        <v>0.5</v>
      </c>
      <c r="F22" s="14">
        <f t="shared" si="0"/>
        <v>0.5</v>
      </c>
    </row>
    <row r="23" spans="1:6" ht="18" customHeight="1" x14ac:dyDescent="0.3">
      <c r="A23" s="15" t="s">
        <v>49</v>
      </c>
      <c r="B23" s="16" t="s">
        <v>50</v>
      </c>
      <c r="C23" s="12">
        <v>1</v>
      </c>
      <c r="D23" s="15" t="s">
        <v>48</v>
      </c>
      <c r="E23" s="17">
        <v>0.5</v>
      </c>
      <c r="F23" s="18">
        <f t="shared" si="0"/>
        <v>0.5</v>
      </c>
    </row>
    <row r="24" spans="1:6" ht="18" customHeight="1" x14ac:dyDescent="0.3">
      <c r="A24" s="10" t="s">
        <v>51</v>
      </c>
      <c r="B24" s="11" t="s">
        <v>52</v>
      </c>
      <c r="C24" s="12">
        <v>1</v>
      </c>
      <c r="D24" s="10" t="s">
        <v>48</v>
      </c>
      <c r="E24" s="13">
        <v>0.5</v>
      </c>
      <c r="F24" s="14">
        <f t="shared" si="0"/>
        <v>0.5</v>
      </c>
    </row>
    <row r="25" spans="1:6" ht="18" customHeight="1" x14ac:dyDescent="0.3">
      <c r="A25" s="15" t="s">
        <v>53</v>
      </c>
      <c r="B25" s="16" t="s">
        <v>54</v>
      </c>
      <c r="C25" s="12">
        <v>1</v>
      </c>
      <c r="D25" s="15" t="s">
        <v>55</v>
      </c>
      <c r="E25" s="17">
        <v>18.600000000000001</v>
      </c>
      <c r="F25" s="18">
        <f t="shared" si="0"/>
        <v>18.600000000000001</v>
      </c>
    </row>
    <row r="26" spans="1:6" ht="18" customHeight="1" x14ac:dyDescent="0.3">
      <c r="A26" s="10" t="s">
        <v>56</v>
      </c>
      <c r="B26" s="11" t="s">
        <v>57</v>
      </c>
      <c r="C26" s="12">
        <v>1</v>
      </c>
      <c r="D26" s="10" t="s">
        <v>58</v>
      </c>
      <c r="E26" s="13">
        <v>2.976</v>
      </c>
      <c r="F26" s="14">
        <f t="shared" si="0"/>
        <v>2.976</v>
      </c>
    </row>
    <row r="27" spans="1:6" ht="18" customHeight="1" thickBot="1" x14ac:dyDescent="0.35">
      <c r="A27" s="15" t="s">
        <v>59</v>
      </c>
      <c r="B27" s="16" t="s">
        <v>60</v>
      </c>
      <c r="C27" s="12">
        <v>45</v>
      </c>
      <c r="D27" s="15" t="s">
        <v>29</v>
      </c>
      <c r="E27" s="17">
        <v>8.6999999999999994E-2</v>
      </c>
      <c r="F27" s="18">
        <f t="shared" si="0"/>
        <v>3.9149999999999996</v>
      </c>
    </row>
    <row r="28" spans="1:6" ht="18" customHeight="1" thickBot="1" x14ac:dyDescent="0.35">
      <c r="A28" s="6" t="s">
        <v>61</v>
      </c>
      <c r="B28" s="6"/>
      <c r="C28" s="6"/>
      <c r="D28" s="6"/>
      <c r="E28" s="6"/>
      <c r="F28" s="19">
        <f>SUM(F17:F27)</f>
        <v>49.311</v>
      </c>
    </row>
    <row r="29" spans="1:6" ht="18" customHeight="1" thickBot="1" x14ac:dyDescent="0.35">
      <c r="A29" s="7" t="s">
        <v>62</v>
      </c>
      <c r="B29" s="7"/>
      <c r="C29" s="7"/>
      <c r="D29" s="7"/>
      <c r="E29" s="7"/>
      <c r="F29" s="7"/>
    </row>
    <row r="30" spans="1:6" ht="18" customHeight="1" x14ac:dyDescent="0.3">
      <c r="A30" s="10" t="s">
        <v>63</v>
      </c>
      <c r="B30" s="11" t="s">
        <v>64</v>
      </c>
      <c r="C30" s="12">
        <v>1</v>
      </c>
      <c r="D30" s="10" t="s">
        <v>65</v>
      </c>
      <c r="E30" s="13">
        <v>0</v>
      </c>
      <c r="F30" s="14">
        <v>0</v>
      </c>
    </row>
    <row r="31" spans="1:6" ht="18" customHeight="1" x14ac:dyDescent="0.3">
      <c r="A31" s="15" t="s">
        <v>66</v>
      </c>
      <c r="B31" s="16" t="s">
        <v>67</v>
      </c>
      <c r="C31" s="12">
        <v>5</v>
      </c>
      <c r="D31" s="15" t="s">
        <v>68</v>
      </c>
      <c r="E31" s="17">
        <v>0.03</v>
      </c>
      <c r="F31" s="18">
        <f>C31*E31</f>
        <v>0.15</v>
      </c>
    </row>
    <row r="32" spans="1:6" ht="18" customHeight="1" thickBot="1" x14ac:dyDescent="0.35">
      <c r="A32" s="10" t="s">
        <v>69</v>
      </c>
      <c r="B32" s="11" t="s">
        <v>70</v>
      </c>
      <c r="C32" s="12">
        <v>2</v>
      </c>
      <c r="D32" s="10" t="s">
        <v>71</v>
      </c>
      <c r="E32" s="13">
        <v>3</v>
      </c>
      <c r="F32" s="14">
        <f>C32*E32</f>
        <v>6</v>
      </c>
    </row>
    <row r="33" spans="1:6" ht="18" customHeight="1" thickBot="1" x14ac:dyDescent="0.35">
      <c r="A33" s="6" t="s">
        <v>72</v>
      </c>
      <c r="B33" s="6"/>
      <c r="C33" s="6"/>
      <c r="D33" s="6"/>
      <c r="E33" s="6"/>
      <c r="F33" s="19">
        <f>SUM(F29:F32)</f>
        <v>6.15</v>
      </c>
    </row>
    <row r="34" spans="1:6" ht="18" customHeight="1" thickBot="1" x14ac:dyDescent="0.35">
      <c r="A34" s="7" t="s">
        <v>73</v>
      </c>
      <c r="B34" s="7"/>
      <c r="C34" s="7"/>
      <c r="D34" s="7"/>
      <c r="E34" s="7"/>
      <c r="F34" s="7"/>
    </row>
    <row r="35" spans="1:6" ht="18" customHeight="1" x14ac:dyDescent="0.3">
      <c r="A35" s="15" t="s">
        <v>74</v>
      </c>
      <c r="B35" s="16" t="s">
        <v>75</v>
      </c>
      <c r="C35" s="12">
        <v>5</v>
      </c>
      <c r="D35" s="15" t="s">
        <v>29</v>
      </c>
      <c r="E35" s="17">
        <v>2.76</v>
      </c>
      <c r="F35" s="18">
        <f>C35*E35</f>
        <v>13.799999999999999</v>
      </c>
    </row>
    <row r="36" spans="1:6" ht="18" customHeight="1" x14ac:dyDescent="0.3">
      <c r="A36" s="10" t="s">
        <v>76</v>
      </c>
      <c r="B36" s="11" t="s">
        <v>77</v>
      </c>
      <c r="C36" s="12">
        <v>50</v>
      </c>
      <c r="D36" s="10" t="s">
        <v>29</v>
      </c>
      <c r="E36" s="13">
        <v>0.1</v>
      </c>
      <c r="F36" s="14">
        <f>C36*E36</f>
        <v>5</v>
      </c>
    </row>
    <row r="37" spans="1:6" ht="18" customHeight="1" x14ac:dyDescent="0.3">
      <c r="A37" s="15" t="s">
        <v>78</v>
      </c>
      <c r="B37" s="16" t="s">
        <v>79</v>
      </c>
      <c r="C37" s="12">
        <v>1</v>
      </c>
      <c r="D37" s="15" t="s">
        <v>10</v>
      </c>
      <c r="E37" s="17">
        <v>0</v>
      </c>
      <c r="F37" s="18">
        <v>0</v>
      </c>
    </row>
    <row r="38" spans="1:6" ht="18" customHeight="1" x14ac:dyDescent="0.3">
      <c r="A38" s="10" t="s">
        <v>80</v>
      </c>
      <c r="B38" s="11" t="s">
        <v>81</v>
      </c>
      <c r="C38" s="12">
        <v>2</v>
      </c>
      <c r="D38" s="10" t="s">
        <v>29</v>
      </c>
      <c r="E38" s="13">
        <v>2.76</v>
      </c>
      <c r="F38" s="14">
        <f>C38*E38</f>
        <v>5.52</v>
      </c>
    </row>
    <row r="39" spans="1:6" ht="18" customHeight="1" thickBot="1" x14ac:dyDescent="0.35">
      <c r="A39" s="15" t="s">
        <v>82</v>
      </c>
      <c r="B39" s="16" t="s">
        <v>83</v>
      </c>
      <c r="C39" s="12">
        <v>10</v>
      </c>
      <c r="D39" s="15" t="s">
        <v>84</v>
      </c>
      <c r="E39" s="17">
        <v>0.1</v>
      </c>
      <c r="F39" s="18">
        <f>C39*E39</f>
        <v>1</v>
      </c>
    </row>
    <row r="40" spans="1:6" ht="18" customHeight="1" thickBot="1" x14ac:dyDescent="0.35">
      <c r="A40" s="6" t="s">
        <v>85</v>
      </c>
      <c r="B40" s="6"/>
      <c r="C40" s="6"/>
      <c r="D40" s="6"/>
      <c r="E40" s="6"/>
      <c r="F40" s="19">
        <f>SUM(F34:F39)</f>
        <v>25.319999999999997</v>
      </c>
    </row>
    <row r="41" spans="1:6" ht="18" customHeight="1" thickBot="1" x14ac:dyDescent="0.35">
      <c r="A41" s="7" t="s">
        <v>86</v>
      </c>
      <c r="B41" s="7"/>
      <c r="C41" s="7"/>
      <c r="D41" s="7"/>
      <c r="E41" s="7"/>
      <c r="F41" s="7"/>
    </row>
    <row r="42" spans="1:6" ht="18" customHeight="1" x14ac:dyDescent="0.3">
      <c r="A42" s="10" t="s">
        <v>87</v>
      </c>
      <c r="B42" s="11" t="s">
        <v>88</v>
      </c>
      <c r="C42" s="12">
        <v>2</v>
      </c>
      <c r="D42" s="10" t="s">
        <v>89</v>
      </c>
      <c r="E42" s="13">
        <v>7</v>
      </c>
      <c r="F42" s="14">
        <f>C42*E42</f>
        <v>14</v>
      </c>
    </row>
    <row r="43" spans="1:6" ht="18" customHeight="1" x14ac:dyDescent="0.3">
      <c r="A43" s="15" t="s">
        <v>90</v>
      </c>
      <c r="B43" s="16" t="s">
        <v>91</v>
      </c>
      <c r="C43" s="12">
        <v>2</v>
      </c>
      <c r="D43" s="15" t="s">
        <v>16</v>
      </c>
      <c r="E43" s="17">
        <v>15</v>
      </c>
      <c r="F43" s="18">
        <f>C43*E43</f>
        <v>30</v>
      </c>
    </row>
    <row r="44" spans="1:6" ht="18" customHeight="1" x14ac:dyDescent="0.3">
      <c r="A44" s="10" t="s">
        <v>92</v>
      </c>
      <c r="B44" s="11" t="s">
        <v>93</v>
      </c>
      <c r="C44" s="12">
        <v>5</v>
      </c>
      <c r="D44" s="10" t="s">
        <v>94</v>
      </c>
      <c r="E44" s="13">
        <v>0.02</v>
      </c>
      <c r="F44" s="14">
        <f>C44*E44</f>
        <v>0.1</v>
      </c>
    </row>
    <row r="45" spans="1:6" ht="18" customHeight="1" x14ac:dyDescent="0.3">
      <c r="A45" s="15" t="s">
        <v>95</v>
      </c>
      <c r="B45" s="16" t="s">
        <v>96</v>
      </c>
      <c r="C45" s="12">
        <v>1</v>
      </c>
      <c r="D45" s="15" t="s">
        <v>10</v>
      </c>
      <c r="E45" s="17">
        <v>0</v>
      </c>
      <c r="F45" s="18">
        <v>0</v>
      </c>
    </row>
    <row r="46" spans="1:6" ht="18" customHeight="1" thickBot="1" x14ac:dyDescent="0.35">
      <c r="A46" s="10" t="s">
        <v>97</v>
      </c>
      <c r="B46" s="11" t="s">
        <v>98</v>
      </c>
      <c r="C46" s="12">
        <v>2</v>
      </c>
      <c r="D46" s="10" t="s">
        <v>29</v>
      </c>
      <c r="E46" s="13">
        <v>8.6999999999999994E-2</v>
      </c>
      <c r="F46" s="14">
        <f>C46*E46</f>
        <v>0.17399999999999999</v>
      </c>
    </row>
    <row r="47" spans="1:6" ht="18" customHeight="1" thickBot="1" x14ac:dyDescent="0.35">
      <c r="A47" s="6" t="s">
        <v>99</v>
      </c>
      <c r="B47" s="6"/>
      <c r="C47" s="6"/>
      <c r="D47" s="6"/>
      <c r="E47" s="6"/>
      <c r="F47" s="19">
        <f>SUM(F41:F46)</f>
        <v>44.274000000000001</v>
      </c>
    </row>
    <row r="48" spans="1:6" ht="18" customHeight="1" thickBot="1" x14ac:dyDescent="0.35">
      <c r="A48" s="7" t="s">
        <v>100</v>
      </c>
      <c r="B48" s="7"/>
      <c r="C48" s="7"/>
      <c r="D48" s="7"/>
      <c r="E48" s="7"/>
      <c r="F48" s="7"/>
    </row>
    <row r="49" spans="1:6" ht="18" customHeight="1" x14ac:dyDescent="0.3">
      <c r="A49" s="15" t="s">
        <v>101</v>
      </c>
      <c r="B49" s="16" t="s">
        <v>102</v>
      </c>
      <c r="C49" s="12">
        <v>1</v>
      </c>
      <c r="D49" s="15" t="s">
        <v>103</v>
      </c>
      <c r="E49" s="17">
        <v>0</v>
      </c>
      <c r="F49" s="18">
        <v>0</v>
      </c>
    </row>
    <row r="50" spans="1:6" ht="18" customHeight="1" x14ac:dyDescent="0.3">
      <c r="A50" s="10" t="s">
        <v>104</v>
      </c>
      <c r="B50" s="11" t="s">
        <v>105</v>
      </c>
      <c r="C50" s="12">
        <v>1</v>
      </c>
      <c r="D50" s="10" t="s">
        <v>13</v>
      </c>
      <c r="E50" s="13">
        <v>35.712000000000003</v>
      </c>
      <c r="F50" s="14">
        <f>C50*E50</f>
        <v>35.712000000000003</v>
      </c>
    </row>
    <row r="51" spans="1:6" ht="18" customHeight="1" thickBot="1" x14ac:dyDescent="0.35">
      <c r="A51" s="15" t="s">
        <v>106</v>
      </c>
      <c r="B51" s="16" t="s">
        <v>107</v>
      </c>
      <c r="C51" s="12">
        <v>1</v>
      </c>
      <c r="D51" s="15" t="s">
        <v>21</v>
      </c>
      <c r="E51" s="17">
        <v>8</v>
      </c>
      <c r="F51" s="18">
        <f>C51*E51</f>
        <v>8</v>
      </c>
    </row>
    <row r="52" spans="1:6" ht="18" customHeight="1" thickBot="1" x14ac:dyDescent="0.35">
      <c r="A52" s="6" t="s">
        <v>108</v>
      </c>
      <c r="B52" s="6"/>
      <c r="C52" s="6"/>
      <c r="D52" s="6"/>
      <c r="E52" s="6"/>
      <c r="F52" s="19">
        <f>SUM(F48:F51)</f>
        <v>43.712000000000003</v>
      </c>
    </row>
    <row r="53" spans="1:6" ht="24" customHeight="1" thickBot="1" x14ac:dyDescent="0.35">
      <c r="A53" s="5" t="s">
        <v>109</v>
      </c>
      <c r="B53" s="5"/>
      <c r="C53" s="5"/>
      <c r="D53" s="5"/>
      <c r="E53" s="5"/>
      <c r="F53" s="20">
        <f>F7+F13+F16+F28+F33+F40+F47+F52</f>
        <v>617.16199999999992</v>
      </c>
    </row>
    <row r="54" spans="1:6" ht="24" customHeight="1" thickBot="1" x14ac:dyDescent="0.35">
      <c r="A54" s="5" t="s">
        <v>110</v>
      </c>
      <c r="B54" s="5"/>
      <c r="C54" s="5"/>
      <c r="D54" s="5"/>
      <c r="E54" s="5"/>
      <c r="F54" s="20">
        <f>F53*12</f>
        <v>7405.9439999999995</v>
      </c>
    </row>
    <row r="56" spans="1:6" ht="15" thickBot="1" x14ac:dyDescent="0.35">
      <c r="A56" s="4" t="s">
        <v>111</v>
      </c>
      <c r="B56" s="4"/>
      <c r="C56" s="4"/>
      <c r="D56" s="4"/>
      <c r="E56" s="4"/>
      <c r="F56" s="4"/>
    </row>
    <row r="57" spans="1:6" ht="15.75" customHeight="1" x14ac:dyDescent="0.3">
      <c r="A57" s="3" t="s">
        <v>112</v>
      </c>
      <c r="B57" s="3"/>
      <c r="C57" s="3"/>
      <c r="D57" s="3"/>
      <c r="E57" s="3"/>
      <c r="F57" s="3"/>
    </row>
    <row r="58" spans="1:6" ht="15.75" customHeight="1" x14ac:dyDescent="0.3">
      <c r="A58" s="3" t="s">
        <v>113</v>
      </c>
      <c r="B58" s="3"/>
      <c r="C58" s="3"/>
      <c r="D58" s="3"/>
      <c r="E58" s="3"/>
      <c r="F58" s="3"/>
    </row>
    <row r="59" spans="1:6" ht="15.75" customHeight="1" x14ac:dyDescent="0.3">
      <c r="A59" s="3" t="s">
        <v>114</v>
      </c>
      <c r="B59" s="3"/>
      <c r="C59" s="3"/>
      <c r="D59" s="3"/>
      <c r="E59" s="3"/>
      <c r="F59" s="3"/>
    </row>
    <row r="60" spans="1:6" ht="15.75" customHeight="1" x14ac:dyDescent="0.3">
      <c r="A60" s="3" t="s">
        <v>115</v>
      </c>
      <c r="B60" s="3"/>
      <c r="C60" s="3"/>
      <c r="D60" s="3"/>
      <c r="E60" s="3"/>
      <c r="F60" s="3"/>
    </row>
    <row r="61" spans="1:6" ht="15.75" customHeight="1" x14ac:dyDescent="0.3">
      <c r="A61" s="3" t="s">
        <v>116</v>
      </c>
      <c r="B61" s="3"/>
      <c r="C61" s="3"/>
      <c r="D61" s="3"/>
      <c r="E61" s="3"/>
      <c r="F61" s="3"/>
    </row>
    <row r="62" spans="1:6" ht="15.75" customHeight="1" x14ac:dyDescent="0.3">
      <c r="A62" s="3" t="s">
        <v>117</v>
      </c>
      <c r="B62" s="3"/>
      <c r="C62" s="3"/>
      <c r="D62" s="3"/>
      <c r="E62" s="3"/>
      <c r="F62" s="3"/>
    </row>
    <row r="63" spans="1:6" ht="15.75" customHeight="1" x14ac:dyDescent="0.3">
      <c r="A63" s="3" t="s">
        <v>118</v>
      </c>
      <c r="B63" s="3"/>
      <c r="C63" s="3"/>
      <c r="D63" s="3"/>
      <c r="E63" s="3"/>
      <c r="F63" s="3"/>
    </row>
    <row r="64" spans="1:6" ht="15.75" customHeight="1" x14ac:dyDescent="0.3">
      <c r="A64" s="3" t="s">
        <v>119</v>
      </c>
      <c r="B64" s="3"/>
      <c r="C64" s="3"/>
      <c r="D64" s="3"/>
      <c r="E64" s="3"/>
      <c r="F64" s="3"/>
    </row>
    <row r="65" spans="1:6" ht="15.75" customHeight="1" x14ac:dyDescent="0.3">
      <c r="A65" s="2" t="s">
        <v>120</v>
      </c>
      <c r="B65" s="2"/>
      <c r="C65" s="2"/>
      <c r="D65" s="2"/>
      <c r="E65" s="2"/>
      <c r="F65" s="2"/>
    </row>
  </sheetData>
  <mergeCells count="29">
    <mergeCell ref="A65:F65"/>
    <mergeCell ref="A60:F60"/>
    <mergeCell ref="A61:F61"/>
    <mergeCell ref="A62:F62"/>
    <mergeCell ref="A63:F63"/>
    <mergeCell ref="A64:F64"/>
    <mergeCell ref="A54:E54"/>
    <mergeCell ref="A56:F56"/>
    <mergeCell ref="A57:F57"/>
    <mergeCell ref="A58:F58"/>
    <mergeCell ref="A59:F59"/>
    <mergeCell ref="A41:F41"/>
    <mergeCell ref="A47:E47"/>
    <mergeCell ref="A48:F48"/>
    <mergeCell ref="A52:E52"/>
    <mergeCell ref="A53:E53"/>
    <mergeCell ref="A28:E28"/>
    <mergeCell ref="A29:F29"/>
    <mergeCell ref="A33:E33"/>
    <mergeCell ref="A34:F34"/>
    <mergeCell ref="A40:E40"/>
    <mergeCell ref="A8:F8"/>
    <mergeCell ref="A13:E13"/>
    <mergeCell ref="A14:F14"/>
    <mergeCell ref="A16:E16"/>
    <mergeCell ref="A17:F17"/>
    <mergeCell ref="A1:F1"/>
    <mergeCell ref="A3:F3"/>
    <mergeCell ref="A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D11"/>
  <sheetViews>
    <sheetView zoomScaleNormal="100" workbookViewId="0">
      <pane ySplit="2" topLeftCell="A3" activePane="bottomLeft" state="frozen"/>
      <selection pane="bottomLeft" activeCell="B3" sqref="B3"/>
    </sheetView>
  </sheetViews>
  <sheetFormatPr defaultColWidth="8.6640625" defaultRowHeight="14.4" x14ac:dyDescent="0.3"/>
  <cols>
    <col min="1" max="1" width="32" customWidth="1"/>
    <col min="2" max="4" width="18" customWidth="1"/>
  </cols>
  <sheetData>
    <row r="1" spans="1:4" ht="36" customHeight="1" x14ac:dyDescent="0.3">
      <c r="A1" s="1" t="s">
        <v>121</v>
      </c>
      <c r="B1" s="1"/>
      <c r="C1" s="1"/>
      <c r="D1" s="1"/>
    </row>
    <row r="2" spans="1:4" ht="19.5" customHeight="1" x14ac:dyDescent="0.3">
      <c r="A2" s="21" t="s">
        <v>122</v>
      </c>
      <c r="B2" s="21" t="s">
        <v>6</v>
      </c>
      <c r="C2" s="21" t="s">
        <v>123</v>
      </c>
      <c r="D2" s="21" t="s">
        <v>124</v>
      </c>
    </row>
    <row r="3" spans="1:4" ht="18" customHeight="1" x14ac:dyDescent="0.3">
      <c r="A3" s="22" t="s">
        <v>125</v>
      </c>
      <c r="B3" s="23">
        <f>BOQ!F7</f>
        <v>302.27999999999997</v>
      </c>
      <c r="C3" s="23">
        <f t="shared" ref="C3:C11" si="0">B3*12</f>
        <v>3627.3599999999997</v>
      </c>
      <c r="D3" s="24">
        <f>B3/B11</f>
        <v>0.48979036298411116</v>
      </c>
    </row>
    <row r="4" spans="1:4" ht="18" customHeight="1" x14ac:dyDescent="0.3">
      <c r="A4" s="25" t="s">
        <v>126</v>
      </c>
      <c r="B4" s="26">
        <f>BOQ!F13</f>
        <v>36.115000000000002</v>
      </c>
      <c r="C4" s="26">
        <f t="shared" si="0"/>
        <v>433.38</v>
      </c>
      <c r="D4" s="27">
        <f>B4/B11</f>
        <v>5.8517860788577403E-2</v>
      </c>
    </row>
    <row r="5" spans="1:4" ht="18" customHeight="1" x14ac:dyDescent="0.3">
      <c r="A5" s="22" t="s">
        <v>127</v>
      </c>
      <c r="B5" s="23">
        <f>BOQ!F16</f>
        <v>110</v>
      </c>
      <c r="C5" s="23">
        <f t="shared" si="0"/>
        <v>1320</v>
      </c>
      <c r="D5" s="24">
        <f>B5/B11</f>
        <v>0.1782352121485121</v>
      </c>
    </row>
    <row r="6" spans="1:4" ht="18" customHeight="1" x14ac:dyDescent="0.3">
      <c r="A6" s="25" t="s">
        <v>128</v>
      </c>
      <c r="B6" s="26">
        <f>BOQ!F28</f>
        <v>49.311</v>
      </c>
      <c r="C6" s="26">
        <f t="shared" si="0"/>
        <v>591.73199999999997</v>
      </c>
      <c r="D6" s="27">
        <f>B6/B11</f>
        <v>7.9899604965957091E-2</v>
      </c>
    </row>
    <row r="7" spans="1:4" ht="18" customHeight="1" x14ac:dyDescent="0.3">
      <c r="A7" s="22" t="s">
        <v>129</v>
      </c>
      <c r="B7" s="23">
        <f>BOQ!F33</f>
        <v>6.15</v>
      </c>
      <c r="C7" s="23">
        <f t="shared" si="0"/>
        <v>73.800000000000011</v>
      </c>
      <c r="D7" s="24">
        <f>B7/B11</f>
        <v>9.9649686792122674E-3</v>
      </c>
    </row>
    <row r="8" spans="1:4" ht="18" customHeight="1" x14ac:dyDescent="0.3">
      <c r="A8" s="25" t="s">
        <v>130</v>
      </c>
      <c r="B8" s="26">
        <f>BOQ!F40</f>
        <v>25.319999999999997</v>
      </c>
      <c r="C8" s="26">
        <f t="shared" si="0"/>
        <v>303.83999999999997</v>
      </c>
      <c r="D8" s="27">
        <f>B8/B11</f>
        <v>4.1026505196366594E-2</v>
      </c>
    </row>
    <row r="9" spans="1:4" ht="18" customHeight="1" x14ac:dyDescent="0.3">
      <c r="A9" s="22" t="s">
        <v>131</v>
      </c>
      <c r="B9" s="23">
        <f>BOQ!F47</f>
        <v>44.274000000000001</v>
      </c>
      <c r="C9" s="23">
        <f t="shared" si="0"/>
        <v>531.28800000000001</v>
      </c>
      <c r="D9" s="24">
        <f>B9/B11</f>
        <v>7.1738052569665672E-2</v>
      </c>
    </row>
    <row r="10" spans="1:4" ht="18" customHeight="1" x14ac:dyDescent="0.3">
      <c r="A10" s="25" t="s">
        <v>132</v>
      </c>
      <c r="B10" s="26">
        <f>BOQ!F52</f>
        <v>43.712000000000003</v>
      </c>
      <c r="C10" s="26">
        <f t="shared" si="0"/>
        <v>524.5440000000001</v>
      </c>
      <c r="D10" s="27">
        <f>B10/B11</f>
        <v>7.082743266759782E-2</v>
      </c>
    </row>
    <row r="11" spans="1:4" ht="21.75" customHeight="1" x14ac:dyDescent="0.3">
      <c r="A11" s="28" t="s">
        <v>133</v>
      </c>
      <c r="B11" s="29">
        <f>SUM(B3:B10)</f>
        <v>617.16199999999992</v>
      </c>
      <c r="C11" s="29">
        <f t="shared" si="0"/>
        <v>7405.9439999999995</v>
      </c>
      <c r="D11" s="30" t="s">
        <v>134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Mayur Taware</cp:lastModifiedBy>
  <cp:revision>1</cp:revision>
  <dcterms:created xsi:type="dcterms:W3CDTF">2026-02-27T18:52:29Z</dcterms:created>
  <dcterms:modified xsi:type="dcterms:W3CDTF">2026-03-05T07:08:23Z</dcterms:modified>
  <dc:language>en-US</dc:language>
</cp:coreProperties>
</file>